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chaxPh7\Downloads\"/>
    </mc:Choice>
  </mc:AlternateContent>
  <xr:revisionPtr revIDLastSave="0" documentId="13_ncr:1_{AD1B56E8-92FD-4DF6-B372-F39B5F1B769E}" xr6:coauthVersionLast="47" xr6:coauthVersionMax="47" xr10:uidLastSave="{00000000-0000-0000-0000-000000000000}"/>
  <bookViews>
    <workbookView xWindow="-120" yWindow="-120" windowWidth="29040" windowHeight="15840" activeTab="2" xr2:uid="{F28D8F33-2A49-A048-82FE-DD65A4E1AD65}"/>
  </bookViews>
  <sheets>
    <sheet name="Checkout Page" sheetId="1" r:id="rId1"/>
    <sheet name="Items" sheetId="2" r:id="rId2"/>
    <sheet name="Config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1" i="1" l="1"/>
  <c r="I12" i="1"/>
  <c r="I15" i="1"/>
  <c r="I18" i="1"/>
  <c r="I9" i="1"/>
  <c r="I27" i="1" l="1"/>
  <c r="I24" i="1"/>
</calcChain>
</file>

<file path=xl/sharedStrings.xml><?xml version="1.0" encoding="utf-8"?>
<sst xmlns="http://schemas.openxmlformats.org/spreadsheetml/2006/main" count="67" uniqueCount="58">
  <si>
    <t>PayMeme Checkout</t>
  </si>
  <si>
    <t>ITEM 1</t>
  </si>
  <si>
    <t>ITEM 2</t>
  </si>
  <si>
    <t>ITEM 3</t>
  </si>
  <si>
    <t>ITEM 4</t>
  </si>
  <si>
    <t>ITEM 5</t>
  </si>
  <si>
    <t>+2 Half plate</t>
  </si>
  <si>
    <t>+3 Breastplate</t>
  </si>
  <si>
    <t>Dragon Scale Mail</t>
  </si>
  <si>
    <t>Dust of Sneezing and Choking</t>
  </si>
  <si>
    <t>Halberd</t>
  </si>
  <si>
    <t>Heavy Crossbow of Warning</t>
  </si>
  <si>
    <t>Hide Armor of Resistance (Acid)</t>
  </si>
  <si>
    <t>Ivory Goat (Terror)</t>
  </si>
  <si>
    <t>Rod of Absorption</t>
  </si>
  <si>
    <t>Rod of Rulership</t>
  </si>
  <si>
    <t>Scarab of Protection</t>
  </si>
  <si>
    <t>Scroll of Cure Wounds</t>
  </si>
  <si>
    <t>Scroll of Faerie Fire</t>
  </si>
  <si>
    <t>Scroll of Fire Bolt</t>
  </si>
  <si>
    <t>Scroll of Heroism</t>
  </si>
  <si>
    <t>Scroll of Hypnotic Pattern</t>
  </si>
  <si>
    <t>Scroll of Power Word Kill</t>
  </si>
  <si>
    <t>Scroll of Simulacrum</t>
  </si>
  <si>
    <t>Scroll of Wish</t>
  </si>
  <si>
    <t>Scroll of Word of Recall</t>
  </si>
  <si>
    <t>Sickle</t>
  </si>
  <si>
    <t>Splint</t>
  </si>
  <si>
    <t>Universal Solvent</t>
  </si>
  <si>
    <t>Vicious Lance</t>
  </si>
  <si>
    <t>Wand of Secrets</t>
  </si>
  <si>
    <t>Items</t>
  </si>
  <si>
    <t>Canvas Slip-ons</t>
  </si>
  <si>
    <t>Amount</t>
  </si>
  <si>
    <t>Number of Items:</t>
  </si>
  <si>
    <t>Total:</t>
  </si>
  <si>
    <t>CLICK ME</t>
  </si>
  <si>
    <t>BUYER DETAILS</t>
  </si>
  <si>
    <t>FIRST NAME</t>
  </si>
  <si>
    <t>LAST NAME</t>
  </si>
  <si>
    <t>SHIPPING ADDRESS</t>
  </si>
  <si>
    <t>BILLING ADDRESS</t>
  </si>
  <si>
    <t>City/Municipality</t>
  </si>
  <si>
    <t>ZIP code</t>
  </si>
  <si>
    <t>9 Sheridan, 6F Launchpad Bldg</t>
  </si>
  <si>
    <t>Highway Hills</t>
  </si>
  <si>
    <t>Mandaluyong City</t>
  </si>
  <si>
    <t>Metro Manila</t>
  </si>
  <si>
    <t>PayMaya Checkout Endpoint</t>
  </si>
  <si>
    <t>https://pg-sandbox.paymaya.com/checkout/v1/checkouts</t>
  </si>
  <si>
    <t>Address Line 1</t>
  </si>
  <si>
    <t>Address Line 2</t>
  </si>
  <si>
    <t>State/Region</t>
  </si>
  <si>
    <t>Basic Auth ("Basic xxx")</t>
  </si>
  <si>
    <t>https://payments-web-sandbox.paymaya.com/checkout?id=4bcbdd69-a6f9-43c0-b8e2-59392a60d84e</t>
  </si>
  <si>
    <t>Hansuuuuuuuuuu</t>
  </si>
  <si>
    <t>HelloWorld</t>
  </si>
  <si>
    <t>Basic changeme=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</si>
</sst>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2"/>
      <color rgb="FF000000"/>
      <name val="Calibri"/>
      <family val="2"/>
    </font>
    <font>
      <sz val="16"/>
      <color theme="1"/>
      <name val="Calibri"/>
      <family val="2"/>
      <scheme val="minor"/>
    </font>
    <font>
      <sz val="30"/>
      <color rgb="FF000000"/>
      <name val="Comic Sans MS"/>
      <family val="4"/>
    </font>
    <font>
      <u/>
      <sz val="12"/>
      <color theme="10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rgb="FF000000"/>
      <name val="Helvetic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9">
    <xf numFmtId="0" fontId="0" fillId="0" borderId="0" xfId="0"/>
    <xf numFmtId="0" fontId="1" fillId="0" borderId="0" xfId="0" applyFont="1" applyAlignment="1">
      <alignment horizontal="center" vertical="center"/>
    </xf>
    <xf numFmtId="2" fontId="0" fillId="0" borderId="0" xfId="0" applyNumberFormat="1"/>
    <xf numFmtId="0" fontId="5" fillId="0" borderId="0" xfId="1"/>
    <xf numFmtId="0" fontId="7" fillId="0" borderId="0" xfId="0" applyFont="1" applyAlignment="1">
      <alignment vertical="center"/>
    </xf>
    <xf numFmtId="0" fontId="8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5" fillId="0" borderId="0" xfId="1"/>
    <xf numFmtId="0" fontId="0" fillId="0" borderId="0" xfId="0"/>
    <xf numFmtId="0" fontId="6" fillId="0" borderId="1" xfId="0" applyFont="1" applyBorder="1" applyAlignment="1">
      <alignment horizontal="center" wrapText="1"/>
    </xf>
    <xf numFmtId="0" fontId="7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5" fillId="0" borderId="1" xfId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5" fmlaLink="C9" fmlaRange="Items!$A$1:$A$26" sel="26" val="18"/>
</file>

<file path=xl/ctrlProps/ctrlProp3.xml><?xml version="1.0" encoding="utf-8"?>
<formControlPr xmlns="http://schemas.microsoft.com/office/spreadsheetml/2009/9/main" objectType="Drop" dropStyle="combo" dx="15" fmlaLink="C12" fmlaRange="Items!$A$1:$A$26" sel="0" val="0"/>
</file>

<file path=xl/ctrlProps/ctrlProp4.xml><?xml version="1.0" encoding="utf-8"?>
<formControlPr xmlns="http://schemas.microsoft.com/office/spreadsheetml/2009/9/main" objectType="Drop" dropStyle="combo" dx="15" fmlaLink="C15" fmlaRange="Items!$A$1:$A$26" sel="0" val="13"/>
</file>

<file path=xl/ctrlProps/ctrlProp5.xml><?xml version="1.0" encoding="utf-8"?>
<formControlPr xmlns="http://schemas.microsoft.com/office/spreadsheetml/2009/9/main" objectType="Drop" dropStyle="combo" dx="15" fmlaLink="C18" fmlaRange="Items!$A$1:$A$26" sel="0" val="0"/>
</file>

<file path=xl/ctrlProps/ctrlProp6.xml><?xml version="1.0" encoding="utf-8"?>
<formControlPr xmlns="http://schemas.microsoft.com/office/spreadsheetml/2009/9/main" objectType="Drop" dropStyle="combo" dx="15" fmlaLink="C21" fmlaRange="Items!$A$1:$A$26" sel="0" val="4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809625</xdr:colOff>
          <xdr:row>29</xdr:row>
          <xdr:rowOff>190500</xdr:rowOff>
        </xdr:from>
        <xdr:to>
          <xdr:col>6</xdr:col>
          <xdr:colOff>9525</xdr:colOff>
          <xdr:row>36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en-PH" sz="3000" b="0" i="0" u="none" strike="noStrike" baseline="0">
                  <a:solidFill>
                    <a:srgbClr val="000000"/>
                  </a:solidFill>
                  <a:latin typeface="Comic Sans MS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9525</xdr:rowOff>
        </xdr:from>
        <xdr:to>
          <xdr:col>5</xdr:col>
          <xdr:colOff>9525</xdr:colOff>
          <xdr:row>10</xdr:row>
          <xdr:rowOff>9525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10</xdr:row>
          <xdr:rowOff>190500</xdr:rowOff>
        </xdr:from>
        <xdr:to>
          <xdr:col>5</xdr:col>
          <xdr:colOff>9525</xdr:colOff>
          <xdr:row>13</xdr:row>
          <xdr:rowOff>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5</xdr:col>
          <xdr:colOff>0</xdr:colOff>
          <xdr:row>16</xdr:row>
          <xdr:rowOff>9525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20</xdr:row>
          <xdr:rowOff>0</xdr:rowOff>
        </xdr:from>
        <xdr:to>
          <xdr:col>5</xdr:col>
          <xdr:colOff>9525</xdr:colOff>
          <xdr:row>22</xdr:row>
          <xdr:rowOff>9525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8</xdr:row>
          <xdr:rowOff>0</xdr:rowOff>
        </xdr:from>
        <xdr:to>
          <xdr:col>7</xdr:col>
          <xdr:colOff>104775</xdr:colOff>
          <xdr:row>9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11</xdr:row>
          <xdr:rowOff>9525</xdr:rowOff>
        </xdr:from>
        <xdr:to>
          <xdr:col>7</xdr:col>
          <xdr:colOff>104775</xdr:colOff>
          <xdr:row>12</xdr:row>
          <xdr:rowOff>190500</xdr:rowOff>
        </xdr:to>
        <xdr:sp macro="" textlink="">
          <xdr:nvSpPr>
            <xdr:cNvPr id="1040" name="Button 16" descr="CLEAR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14</xdr:row>
          <xdr:rowOff>28575</xdr:rowOff>
        </xdr:from>
        <xdr:to>
          <xdr:col>7</xdr:col>
          <xdr:colOff>104775</xdr:colOff>
          <xdr:row>15</xdr:row>
          <xdr:rowOff>200025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17</xdr:row>
          <xdr:rowOff>9525</xdr:rowOff>
        </xdr:from>
        <xdr:to>
          <xdr:col>7</xdr:col>
          <xdr:colOff>85725</xdr:colOff>
          <xdr:row>18</xdr:row>
          <xdr:rowOff>190500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20</xdr:row>
          <xdr:rowOff>28575</xdr:rowOff>
        </xdr:from>
        <xdr:to>
          <xdr:col>7</xdr:col>
          <xdr:colOff>85725</xdr:colOff>
          <xdr:row>21</xdr:row>
          <xdr:rowOff>200025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ayments-web-sandbox.paymaya.com/checkout?id=4bcbdd69-a6f9-43c0-b8e2-59392a60d84e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hansu.free.beeceptor.com&#8226;&#8226;&#8226;&#8226;&#711;&#711;&#711;&#711;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76C22-9853-8A42-9BAB-6FFF625814E3}">
  <sheetPr codeName="Sheet1"/>
  <dimension ref="A1:T47"/>
  <sheetViews>
    <sheetView zoomScale="75" workbookViewId="0">
      <selection activeCell="N28" sqref="N28:P29"/>
    </sheetView>
  </sheetViews>
  <sheetFormatPr defaultColWidth="11" defaultRowHeight="15.75" x14ac:dyDescent="0.25"/>
  <cols>
    <col min="28" max="28" width="10.875" customWidth="1"/>
  </cols>
  <sheetData>
    <row r="1" spans="1:19" ht="15.95" customHeight="1" x14ac:dyDescent="0.25">
      <c r="A1" s="11" t="s">
        <v>0</v>
      </c>
      <c r="B1" s="11"/>
      <c r="C1" s="11"/>
      <c r="D1" s="11"/>
      <c r="E1" s="11"/>
      <c r="F1" s="11"/>
      <c r="G1" s="11"/>
      <c r="H1" s="11"/>
    </row>
    <row r="2" spans="1:19" ht="15.95" customHeight="1" x14ac:dyDescent="0.25">
      <c r="A2" s="11"/>
      <c r="B2" s="11"/>
      <c r="C2" s="11"/>
      <c r="D2" s="11"/>
      <c r="E2" s="11"/>
      <c r="F2" s="11"/>
      <c r="G2" s="11"/>
      <c r="H2" s="11"/>
    </row>
    <row r="3" spans="1:19" ht="15.95" customHeight="1" x14ac:dyDescent="0.25">
      <c r="A3" s="11"/>
      <c r="B3" s="11"/>
      <c r="C3" s="11"/>
      <c r="D3" s="11"/>
      <c r="E3" s="11"/>
      <c r="F3" s="11"/>
      <c r="G3" s="11"/>
      <c r="H3" s="11"/>
    </row>
    <row r="4" spans="1:19" ht="15.95" customHeight="1" x14ac:dyDescent="0.25">
      <c r="A4" s="11"/>
      <c r="B4" s="11"/>
      <c r="C4" s="11"/>
      <c r="D4" s="11"/>
      <c r="E4" s="11"/>
      <c r="F4" s="11"/>
      <c r="G4" s="11"/>
      <c r="H4" s="11"/>
    </row>
    <row r="5" spans="1:19" ht="15.95" customHeight="1" x14ac:dyDescent="0.25">
      <c r="A5" s="11"/>
      <c r="B5" s="11"/>
      <c r="C5" s="11"/>
      <c r="D5" s="11"/>
      <c r="E5" s="11"/>
      <c r="F5" s="11"/>
      <c r="G5" s="11"/>
      <c r="H5" s="11"/>
    </row>
    <row r="6" spans="1:19" ht="46.5" x14ac:dyDescent="0.45">
      <c r="A6" s="12" t="s">
        <v>31</v>
      </c>
      <c r="B6" s="12"/>
      <c r="C6" s="1"/>
      <c r="D6" s="1"/>
      <c r="E6" s="1"/>
      <c r="F6" s="1"/>
      <c r="G6" s="1"/>
      <c r="I6" s="12" t="s">
        <v>33</v>
      </c>
      <c r="J6" s="12"/>
      <c r="M6" s="10" t="s">
        <v>36</v>
      </c>
      <c r="N6" s="10"/>
      <c r="O6" s="10"/>
      <c r="P6" s="10"/>
      <c r="Q6" s="10"/>
      <c r="R6" s="10"/>
      <c r="S6" s="10"/>
    </row>
    <row r="7" spans="1:19" ht="15.95" customHeight="1" x14ac:dyDescent="0.25">
      <c r="M7" s="8" t="s">
        <v>54</v>
      </c>
      <c r="N7" s="9"/>
      <c r="O7" s="9"/>
      <c r="P7" s="9"/>
      <c r="Q7" s="9"/>
      <c r="R7" s="9"/>
      <c r="S7" s="9"/>
    </row>
    <row r="8" spans="1:19" ht="15.95" customHeight="1" x14ac:dyDescent="0.25">
      <c r="M8" s="9"/>
      <c r="N8" s="9"/>
      <c r="O8" s="9"/>
      <c r="P8" s="9"/>
      <c r="Q8" s="9"/>
      <c r="R8" s="9"/>
      <c r="S8" s="9"/>
    </row>
    <row r="9" spans="1:19" ht="15.95" customHeight="1" x14ac:dyDescent="0.25">
      <c r="A9" s="13" t="s">
        <v>1</v>
      </c>
      <c r="B9" s="13"/>
      <c r="C9">
        <v>26</v>
      </c>
      <c r="I9" s="2">
        <f ca="1">IF(C$9&lt;&gt;"",INDIRECT("'"&amp;$A$6&amp;"'!"&amp;"B"&amp;C9),"")</f>
        <v>27</v>
      </c>
      <c r="M9" s="9"/>
      <c r="N9" s="9"/>
      <c r="O9" s="9"/>
      <c r="P9" s="9"/>
      <c r="Q9" s="9"/>
      <c r="R9" s="9"/>
      <c r="S9" s="9"/>
    </row>
    <row r="10" spans="1:19" x14ac:dyDescent="0.25">
      <c r="A10" s="13"/>
      <c r="B10" s="13"/>
      <c r="M10" s="9"/>
      <c r="N10" s="9"/>
      <c r="O10" s="9"/>
      <c r="P10" s="9"/>
      <c r="Q10" s="9"/>
      <c r="R10" s="9"/>
      <c r="S10" s="9"/>
    </row>
    <row r="11" spans="1:19" x14ac:dyDescent="0.25">
      <c r="M11" s="9"/>
      <c r="N11" s="9"/>
      <c r="O11" s="9"/>
      <c r="P11" s="9"/>
      <c r="Q11" s="9"/>
      <c r="R11" s="9"/>
      <c r="S11" s="9"/>
    </row>
    <row r="12" spans="1:19" x14ac:dyDescent="0.25">
      <c r="A12" s="13" t="s">
        <v>2</v>
      </c>
      <c r="B12" s="13"/>
      <c r="I12" s="2" t="str">
        <f ca="1">IF(C12&lt;&gt;"",INDIRECT("'"&amp;$A$6&amp;"'!"&amp;"B"&amp;C12),"")</f>
        <v/>
      </c>
      <c r="M12" s="9"/>
      <c r="N12" s="9"/>
      <c r="O12" s="9"/>
      <c r="P12" s="9"/>
      <c r="Q12" s="9"/>
      <c r="R12" s="9"/>
      <c r="S12" s="9"/>
    </row>
    <row r="13" spans="1:19" x14ac:dyDescent="0.25">
      <c r="A13" s="13"/>
      <c r="B13" s="13"/>
    </row>
    <row r="15" spans="1:19" x14ac:dyDescent="0.25">
      <c r="A15" s="13" t="s">
        <v>3</v>
      </c>
      <c r="B15" s="13"/>
      <c r="I15" s="2" t="str">
        <f ca="1">IF(C15&lt;&gt;"",INDIRECT("'"&amp;$A$6&amp;"'!"&amp;"B"&amp;C15),"")</f>
        <v/>
      </c>
    </row>
    <row r="16" spans="1:19" x14ac:dyDescent="0.25">
      <c r="A16" s="13"/>
      <c r="B16" s="13"/>
    </row>
    <row r="18" spans="1:20" ht="15.95" customHeight="1" x14ac:dyDescent="0.25">
      <c r="A18" s="13" t="s">
        <v>4</v>
      </c>
      <c r="B18" s="13"/>
      <c r="I18" s="2" t="str">
        <f ca="1">IF(C18&lt;&gt;"",INDIRECT("'"&amp;$A$6&amp;"'!"&amp;"B"&amp;C18),"")</f>
        <v/>
      </c>
      <c r="L18" s="14" t="s">
        <v>37</v>
      </c>
      <c r="M18" s="14"/>
      <c r="N18" s="14"/>
      <c r="O18" s="14"/>
      <c r="P18" s="14"/>
      <c r="Q18" s="14"/>
      <c r="R18" s="14"/>
      <c r="S18" s="14"/>
      <c r="T18" s="4"/>
    </row>
    <row r="19" spans="1:20" ht="15.95" customHeight="1" x14ac:dyDescent="0.25">
      <c r="A19" s="13"/>
      <c r="B19" s="13"/>
      <c r="L19" s="14"/>
      <c r="M19" s="14"/>
      <c r="N19" s="14"/>
      <c r="O19" s="14"/>
      <c r="P19" s="14"/>
      <c r="Q19" s="14"/>
      <c r="R19" s="14"/>
      <c r="S19" s="14"/>
      <c r="T19" s="4"/>
    </row>
    <row r="20" spans="1:20" ht="15.95" customHeight="1" x14ac:dyDescent="0.25">
      <c r="L20" s="14"/>
      <c r="M20" s="14"/>
      <c r="N20" s="14"/>
      <c r="O20" s="14"/>
      <c r="P20" s="14"/>
      <c r="Q20" s="14"/>
      <c r="R20" s="14"/>
      <c r="S20" s="14"/>
      <c r="T20" s="4"/>
    </row>
    <row r="21" spans="1:20" ht="15.95" customHeight="1" x14ac:dyDescent="0.25">
      <c r="A21" s="13" t="s">
        <v>5</v>
      </c>
      <c r="B21" s="13"/>
      <c r="I21" s="2" t="str">
        <f ca="1">IF(C21&lt;&gt;"",INDIRECT("'"&amp;$A$6&amp;"'!"&amp;"B"&amp;C21),"")</f>
        <v/>
      </c>
      <c r="L21" s="14"/>
      <c r="M21" s="14"/>
      <c r="N21" s="14"/>
      <c r="O21" s="14"/>
      <c r="P21" s="14"/>
      <c r="Q21" s="14"/>
      <c r="R21" s="14"/>
      <c r="S21" s="14"/>
      <c r="T21" s="4"/>
    </row>
    <row r="22" spans="1:20" x14ac:dyDescent="0.25">
      <c r="A22" s="13"/>
      <c r="B22" s="13"/>
      <c r="L22" s="6" t="s">
        <v>38</v>
      </c>
      <c r="M22" s="6"/>
      <c r="N22" s="6"/>
      <c r="O22" s="6" t="s">
        <v>55</v>
      </c>
      <c r="P22" s="6"/>
      <c r="Q22" s="6"/>
      <c r="R22" s="6"/>
      <c r="S22" s="6"/>
    </row>
    <row r="23" spans="1:20" x14ac:dyDescent="0.25">
      <c r="L23" s="6"/>
      <c r="M23" s="6"/>
      <c r="N23" s="6"/>
      <c r="O23" s="6"/>
      <c r="P23" s="6"/>
      <c r="Q23" s="6"/>
      <c r="R23" s="6"/>
      <c r="S23" s="6"/>
    </row>
    <row r="24" spans="1:20" ht="15.95" customHeight="1" x14ac:dyDescent="0.25">
      <c r="E24" s="15" t="s">
        <v>34</v>
      </c>
      <c r="F24" s="15"/>
      <c r="G24" s="15"/>
      <c r="I24" s="13">
        <f ca="1">COUNTIF(I9:I21,"&gt;0")</f>
        <v>1</v>
      </c>
      <c r="J24" s="13"/>
      <c r="L24" s="6"/>
      <c r="M24" s="6"/>
      <c r="N24" s="6"/>
      <c r="O24" s="6"/>
      <c r="P24" s="6"/>
      <c r="Q24" s="6"/>
      <c r="R24" s="6"/>
      <c r="S24" s="6"/>
    </row>
    <row r="25" spans="1:20" ht="15.95" customHeight="1" x14ac:dyDescent="0.25">
      <c r="E25" s="15"/>
      <c r="F25" s="15"/>
      <c r="G25" s="15"/>
      <c r="I25" s="13"/>
      <c r="J25" s="13"/>
      <c r="L25" s="6" t="s">
        <v>39</v>
      </c>
      <c r="M25" s="6"/>
      <c r="N25" s="6"/>
      <c r="O25" s="6" t="s">
        <v>56</v>
      </c>
      <c r="P25" s="6"/>
      <c r="Q25" s="6"/>
      <c r="R25" s="6"/>
      <c r="S25" s="6"/>
    </row>
    <row r="26" spans="1:20" x14ac:dyDescent="0.25">
      <c r="E26" s="15"/>
      <c r="F26" s="15"/>
      <c r="G26" s="15"/>
      <c r="I26" s="13"/>
      <c r="J26" s="13"/>
      <c r="L26" s="6"/>
      <c r="M26" s="6"/>
      <c r="N26" s="6"/>
      <c r="O26" s="6"/>
      <c r="P26" s="6"/>
      <c r="Q26" s="6"/>
      <c r="R26" s="6"/>
      <c r="S26" s="6"/>
    </row>
    <row r="27" spans="1:20" x14ac:dyDescent="0.25">
      <c r="E27" s="12" t="s">
        <v>35</v>
      </c>
      <c r="F27" s="12"/>
      <c r="G27" s="12"/>
      <c r="I27" s="16">
        <f ca="1">SUM(I9:I21)</f>
        <v>27</v>
      </c>
      <c r="J27" s="13"/>
      <c r="L27" s="6"/>
      <c r="M27" s="6"/>
      <c r="N27" s="6"/>
      <c r="O27" s="6"/>
      <c r="P27" s="6"/>
      <c r="Q27" s="6"/>
      <c r="R27" s="6"/>
      <c r="S27" s="6"/>
    </row>
    <row r="28" spans="1:20" x14ac:dyDescent="0.25">
      <c r="E28" s="12"/>
      <c r="F28" s="12"/>
      <c r="G28" s="12"/>
      <c r="I28" s="13"/>
      <c r="J28" s="13"/>
      <c r="L28" s="6" t="s">
        <v>41</v>
      </c>
      <c r="M28" s="6"/>
      <c r="N28" s="7" t="s">
        <v>50</v>
      </c>
      <c r="O28" s="7"/>
      <c r="P28" s="7"/>
      <c r="Q28" s="6" t="s">
        <v>44</v>
      </c>
      <c r="R28" s="6"/>
      <c r="S28" s="6"/>
    </row>
    <row r="29" spans="1:20" x14ac:dyDescent="0.25">
      <c r="E29" s="12"/>
      <c r="F29" s="12"/>
      <c r="G29" s="12"/>
      <c r="I29" s="13"/>
      <c r="J29" s="13"/>
      <c r="L29" s="6"/>
      <c r="M29" s="6"/>
      <c r="N29" s="7"/>
      <c r="O29" s="7"/>
      <c r="P29" s="7"/>
      <c r="Q29" s="6"/>
      <c r="R29" s="6"/>
      <c r="S29" s="6"/>
    </row>
    <row r="30" spans="1:20" x14ac:dyDescent="0.25">
      <c r="L30" s="6"/>
      <c r="M30" s="6"/>
      <c r="N30" s="6" t="s">
        <v>51</v>
      </c>
      <c r="O30" s="6"/>
      <c r="P30" s="6"/>
      <c r="Q30" s="6" t="s">
        <v>45</v>
      </c>
      <c r="R30" s="6"/>
      <c r="S30" s="6"/>
    </row>
    <row r="31" spans="1:20" x14ac:dyDescent="0.25">
      <c r="L31" s="6"/>
      <c r="M31" s="6"/>
      <c r="N31" s="6"/>
      <c r="O31" s="6"/>
      <c r="P31" s="6"/>
      <c r="Q31" s="6"/>
      <c r="R31" s="6"/>
      <c r="S31" s="6"/>
    </row>
    <row r="32" spans="1:20" x14ac:dyDescent="0.25">
      <c r="L32" s="6"/>
      <c r="M32" s="6"/>
      <c r="N32" s="6" t="s">
        <v>42</v>
      </c>
      <c r="O32" s="6"/>
      <c r="P32" s="6"/>
      <c r="Q32" s="6" t="s">
        <v>46</v>
      </c>
      <c r="R32" s="6"/>
      <c r="S32" s="6"/>
    </row>
    <row r="33" spans="12:19" x14ac:dyDescent="0.25">
      <c r="L33" s="6"/>
      <c r="M33" s="6"/>
      <c r="N33" s="6"/>
      <c r="O33" s="6"/>
      <c r="P33" s="6"/>
      <c r="Q33" s="6"/>
      <c r="R33" s="6"/>
      <c r="S33" s="6"/>
    </row>
    <row r="34" spans="12:19" x14ac:dyDescent="0.25">
      <c r="L34" s="6"/>
      <c r="M34" s="6"/>
      <c r="N34" s="6" t="s">
        <v>52</v>
      </c>
      <c r="O34" s="6"/>
      <c r="P34" s="6"/>
      <c r="Q34" s="6" t="s">
        <v>47</v>
      </c>
      <c r="R34" s="6"/>
      <c r="S34" s="6"/>
    </row>
    <row r="35" spans="12:19" x14ac:dyDescent="0.25">
      <c r="L35" s="6"/>
      <c r="M35" s="6"/>
      <c r="N35" s="6"/>
      <c r="O35" s="6"/>
      <c r="P35" s="6"/>
      <c r="Q35" s="6"/>
      <c r="R35" s="6"/>
      <c r="S35" s="6"/>
    </row>
    <row r="36" spans="12:19" x14ac:dyDescent="0.25">
      <c r="L36" s="6"/>
      <c r="M36" s="6"/>
      <c r="N36" s="6" t="s">
        <v>43</v>
      </c>
      <c r="O36" s="6"/>
      <c r="P36" s="6"/>
      <c r="Q36" s="6">
        <v>1552</v>
      </c>
      <c r="R36" s="6"/>
      <c r="S36" s="6"/>
    </row>
    <row r="37" spans="12:19" x14ac:dyDescent="0.25">
      <c r="L37" s="6"/>
      <c r="M37" s="6"/>
      <c r="N37" s="6"/>
      <c r="O37" s="6"/>
      <c r="P37" s="6"/>
      <c r="Q37" s="6"/>
      <c r="R37" s="6"/>
      <c r="S37" s="6"/>
    </row>
    <row r="38" spans="12:19" ht="15.95" customHeight="1" x14ac:dyDescent="0.25">
      <c r="L38" s="6" t="s">
        <v>40</v>
      </c>
      <c r="M38" s="6"/>
      <c r="N38" s="7" t="s">
        <v>50</v>
      </c>
      <c r="O38" s="7"/>
      <c r="P38" s="7"/>
      <c r="Q38" s="6" t="s">
        <v>44</v>
      </c>
      <c r="R38" s="6"/>
      <c r="S38" s="6"/>
    </row>
    <row r="39" spans="12:19" x14ac:dyDescent="0.25">
      <c r="L39" s="6"/>
      <c r="M39" s="6"/>
      <c r="N39" s="7"/>
      <c r="O39" s="7"/>
      <c r="P39" s="7"/>
      <c r="Q39" s="6"/>
      <c r="R39" s="6"/>
      <c r="S39" s="6"/>
    </row>
    <row r="40" spans="12:19" x14ac:dyDescent="0.25">
      <c r="L40" s="6"/>
      <c r="M40" s="6"/>
      <c r="N40" s="6" t="s">
        <v>51</v>
      </c>
      <c r="O40" s="6"/>
      <c r="P40" s="6"/>
      <c r="Q40" s="6" t="s">
        <v>45</v>
      </c>
      <c r="R40" s="6"/>
      <c r="S40" s="6"/>
    </row>
    <row r="41" spans="12:19" x14ac:dyDescent="0.25">
      <c r="L41" s="6"/>
      <c r="M41" s="6"/>
      <c r="N41" s="6"/>
      <c r="O41" s="6"/>
      <c r="P41" s="6"/>
      <c r="Q41" s="6"/>
      <c r="R41" s="6"/>
      <c r="S41" s="6"/>
    </row>
    <row r="42" spans="12:19" x14ac:dyDescent="0.25">
      <c r="L42" s="6"/>
      <c r="M42" s="6"/>
      <c r="N42" s="6" t="s">
        <v>42</v>
      </c>
      <c r="O42" s="6"/>
      <c r="P42" s="6"/>
      <c r="Q42" s="6" t="s">
        <v>46</v>
      </c>
      <c r="R42" s="6"/>
      <c r="S42" s="6"/>
    </row>
    <row r="43" spans="12:19" x14ac:dyDescent="0.25">
      <c r="L43" s="6"/>
      <c r="M43" s="6"/>
      <c r="N43" s="6"/>
      <c r="O43" s="6"/>
      <c r="P43" s="6"/>
      <c r="Q43" s="6"/>
      <c r="R43" s="6"/>
      <c r="S43" s="6"/>
    </row>
    <row r="44" spans="12:19" x14ac:dyDescent="0.25">
      <c r="L44" s="6"/>
      <c r="M44" s="6"/>
      <c r="N44" s="6" t="s">
        <v>52</v>
      </c>
      <c r="O44" s="6"/>
      <c r="P44" s="6"/>
      <c r="Q44" s="6" t="s">
        <v>47</v>
      </c>
      <c r="R44" s="6"/>
      <c r="S44" s="6"/>
    </row>
    <row r="45" spans="12:19" x14ac:dyDescent="0.25">
      <c r="L45" s="6"/>
      <c r="M45" s="6"/>
      <c r="N45" s="6"/>
      <c r="O45" s="6"/>
      <c r="P45" s="6"/>
      <c r="Q45" s="6"/>
      <c r="R45" s="6"/>
      <c r="S45" s="6"/>
    </row>
    <row r="46" spans="12:19" x14ac:dyDescent="0.25">
      <c r="L46" s="6"/>
      <c r="M46" s="6"/>
      <c r="N46" s="6" t="s">
        <v>43</v>
      </c>
      <c r="O46" s="6"/>
      <c r="P46" s="6"/>
      <c r="Q46" s="6">
        <v>1552</v>
      </c>
      <c r="R46" s="6"/>
      <c r="S46" s="6"/>
    </row>
    <row r="47" spans="12:19" x14ac:dyDescent="0.25">
      <c r="L47" s="6"/>
      <c r="M47" s="6"/>
      <c r="N47" s="6"/>
      <c r="O47" s="6"/>
      <c r="P47" s="6"/>
      <c r="Q47" s="6"/>
      <c r="R47" s="6"/>
      <c r="S47" s="6"/>
    </row>
  </sheetData>
  <mergeCells count="41">
    <mergeCell ref="E27:G29"/>
    <mergeCell ref="I24:J26"/>
    <mergeCell ref="I27:J29"/>
    <mergeCell ref="A9:B10"/>
    <mergeCell ref="A12:B13"/>
    <mergeCell ref="A15:B16"/>
    <mergeCell ref="A18:B19"/>
    <mergeCell ref="M6:S6"/>
    <mergeCell ref="A1:H5"/>
    <mergeCell ref="A6:B6"/>
    <mergeCell ref="A21:B22"/>
    <mergeCell ref="I6:J6"/>
    <mergeCell ref="L18:S21"/>
    <mergeCell ref="O22:S24"/>
    <mergeCell ref="E24:G26"/>
    <mergeCell ref="O25:S27"/>
    <mergeCell ref="L22:N24"/>
    <mergeCell ref="L25:N27"/>
    <mergeCell ref="M7:S12"/>
    <mergeCell ref="L28:M37"/>
    <mergeCell ref="N36:P37"/>
    <mergeCell ref="Q28:S29"/>
    <mergeCell ref="Q30:S31"/>
    <mergeCell ref="Q32:S33"/>
    <mergeCell ref="Q34:S35"/>
    <mergeCell ref="Q36:S37"/>
    <mergeCell ref="N28:P29"/>
    <mergeCell ref="N30:P31"/>
    <mergeCell ref="N32:P33"/>
    <mergeCell ref="N34:P35"/>
    <mergeCell ref="L38:M47"/>
    <mergeCell ref="N38:P39"/>
    <mergeCell ref="Q38:S39"/>
    <mergeCell ref="N40:P41"/>
    <mergeCell ref="Q40:S41"/>
    <mergeCell ref="N42:P43"/>
    <mergeCell ref="Q42:S43"/>
    <mergeCell ref="N44:P45"/>
    <mergeCell ref="Q44:S45"/>
    <mergeCell ref="N46:P47"/>
    <mergeCell ref="Q46:S47"/>
  </mergeCells>
  <hyperlinks>
    <hyperlink ref="M7" r:id="rId1" xr:uid="{096A2CE3-EC99-C94F-81EF-4A2C8D3CD819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heckoutSubmit">
                <anchor moveWithCells="1" sizeWithCells="1">
                  <from>
                    <xdr:col>1</xdr:col>
                    <xdr:colOff>809625</xdr:colOff>
                    <xdr:row>29</xdr:row>
                    <xdr:rowOff>190500</xdr:rowOff>
                  </from>
                  <to>
                    <xdr:col>6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Drop Down 9">
              <controlPr defaultSize="0" autoLine="0" autoPict="0">
                <anchor moveWithCells="1">
                  <from>
                    <xdr:col>2</xdr:col>
                    <xdr:colOff>0</xdr:colOff>
                    <xdr:row>8</xdr:row>
                    <xdr:rowOff>9525</xdr:rowOff>
                  </from>
                  <to>
                    <xdr:col>5</xdr:col>
                    <xdr:colOff>9525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Drop Down 10">
              <controlPr defaultSize="0" autoLine="0" autoPict="0">
                <anchor moveWithCells="1">
                  <from>
                    <xdr:col>1</xdr:col>
                    <xdr:colOff>809625</xdr:colOff>
                    <xdr:row>10</xdr:row>
                    <xdr:rowOff>190500</xdr:rowOff>
                  </from>
                  <to>
                    <xdr:col>5</xdr:col>
                    <xdr:colOff>9525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Drop Down 12">
              <controlPr defaultSize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Drop Down 13">
              <controlPr defaultSize="0" autoLine="0" autoPict="0">
                <anchor moveWithCells="1">
                  <from>
                    <xdr:col>2</xdr:col>
                    <xdr:colOff>0</xdr:colOff>
                    <xdr:row>17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Drop Down 14">
              <controlPr defaultSize="0" autoLine="0" autoPict="0">
                <anchor moveWithCells="1">
                  <from>
                    <xdr:col>1</xdr:col>
                    <xdr:colOff>809625</xdr:colOff>
                    <xdr:row>20</xdr:row>
                    <xdr:rowOff>0</xdr:rowOff>
                  </from>
                  <to>
                    <xdr:col>5</xdr:col>
                    <xdr:colOff>9525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Clear_Item1">
                <anchor moveWithCells="1" sizeWithCells="1">
                  <from>
                    <xdr:col>5</xdr:col>
                    <xdr:colOff>228600</xdr:colOff>
                    <xdr:row>8</xdr:row>
                    <xdr:rowOff>0</xdr:rowOff>
                  </from>
                  <to>
                    <xdr:col>7</xdr:col>
                    <xdr:colOff>104775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Button 16">
              <controlPr defaultSize="0" print="0" autoFill="0" autoPict="0" macro="[0]!Clear_Item2" altText="CLEAR">
                <anchor moveWithCells="1" sizeWithCells="1">
                  <from>
                    <xdr:col>5</xdr:col>
                    <xdr:colOff>228600</xdr:colOff>
                    <xdr:row>11</xdr:row>
                    <xdr:rowOff>9525</xdr:rowOff>
                  </from>
                  <to>
                    <xdr:col>7</xdr:col>
                    <xdr:colOff>104775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Button 17">
              <controlPr defaultSize="0" print="0" autoFill="0" autoPict="0" macro="[0]!Clear_Item3">
                <anchor moveWithCells="1" sizeWithCells="1">
                  <from>
                    <xdr:col>5</xdr:col>
                    <xdr:colOff>228600</xdr:colOff>
                    <xdr:row>14</xdr:row>
                    <xdr:rowOff>28575</xdr:rowOff>
                  </from>
                  <to>
                    <xdr:col>7</xdr:col>
                    <xdr:colOff>104775</xdr:colOff>
                    <xdr:row>15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Button 18">
              <controlPr defaultSize="0" print="0" autoFill="0" autoPict="0" macro="[0]!Clear_Item4">
                <anchor moveWithCells="1" sizeWithCells="1">
                  <from>
                    <xdr:col>5</xdr:col>
                    <xdr:colOff>219075</xdr:colOff>
                    <xdr:row>17</xdr:row>
                    <xdr:rowOff>9525</xdr:rowOff>
                  </from>
                  <to>
                    <xdr:col>7</xdr:col>
                    <xdr:colOff>85725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Button 19">
              <controlPr defaultSize="0" print="0" autoFill="0" autoPict="0" macro="[0]!Clear_Item5">
                <anchor moveWithCells="1" sizeWithCells="1">
                  <from>
                    <xdr:col>5</xdr:col>
                    <xdr:colOff>219075</xdr:colOff>
                    <xdr:row>20</xdr:row>
                    <xdr:rowOff>28575</xdr:rowOff>
                  </from>
                  <to>
                    <xdr:col>7</xdr:col>
                    <xdr:colOff>85725</xdr:colOff>
                    <xdr:row>21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6A727-EC2A-6F47-8C23-13B9E8EA560B}">
  <sheetPr codeName="Sheet2"/>
  <dimension ref="A1:B26"/>
  <sheetViews>
    <sheetView workbookViewId="0">
      <selection activeCell="B5" sqref="B5"/>
    </sheetView>
  </sheetViews>
  <sheetFormatPr defaultColWidth="11" defaultRowHeight="15.75" x14ac:dyDescent="0.25"/>
  <cols>
    <col min="1" max="1" width="41.875" customWidth="1"/>
  </cols>
  <sheetData>
    <row r="1" spans="1:2" x14ac:dyDescent="0.25">
      <c r="A1" t="s">
        <v>6</v>
      </c>
      <c r="B1">
        <v>1</v>
      </c>
    </row>
    <row r="2" spans="1:2" x14ac:dyDescent="0.25">
      <c r="A2" t="s">
        <v>7</v>
      </c>
      <c r="B2">
        <v>2</v>
      </c>
    </row>
    <row r="3" spans="1:2" x14ac:dyDescent="0.25">
      <c r="A3" t="s">
        <v>8</v>
      </c>
      <c r="B3">
        <v>3</v>
      </c>
    </row>
    <row r="4" spans="1:2" x14ac:dyDescent="0.25">
      <c r="A4" t="s">
        <v>9</v>
      </c>
      <c r="B4">
        <v>4</v>
      </c>
    </row>
    <row r="5" spans="1:2" x14ac:dyDescent="0.25">
      <c r="A5" t="s">
        <v>10</v>
      </c>
      <c r="B5">
        <v>5</v>
      </c>
    </row>
    <row r="6" spans="1:2" x14ac:dyDescent="0.25">
      <c r="A6" t="s">
        <v>11</v>
      </c>
      <c r="B6">
        <v>6</v>
      </c>
    </row>
    <row r="7" spans="1:2" x14ac:dyDescent="0.25">
      <c r="A7" t="s">
        <v>12</v>
      </c>
      <c r="B7">
        <v>7</v>
      </c>
    </row>
    <row r="8" spans="1:2" x14ac:dyDescent="0.25">
      <c r="A8" t="s">
        <v>13</v>
      </c>
      <c r="B8">
        <v>8</v>
      </c>
    </row>
    <row r="9" spans="1:2" x14ac:dyDescent="0.25">
      <c r="A9" t="s">
        <v>14</v>
      </c>
      <c r="B9">
        <v>9</v>
      </c>
    </row>
    <row r="10" spans="1:2" x14ac:dyDescent="0.25">
      <c r="A10" t="s">
        <v>15</v>
      </c>
      <c r="B10">
        <v>10</v>
      </c>
    </row>
    <row r="11" spans="1:2" x14ac:dyDescent="0.25">
      <c r="A11" t="s">
        <v>16</v>
      </c>
      <c r="B11">
        <v>11</v>
      </c>
    </row>
    <row r="12" spans="1:2" x14ac:dyDescent="0.25">
      <c r="A12" t="s">
        <v>17</v>
      </c>
      <c r="B12">
        <v>12</v>
      </c>
    </row>
    <row r="13" spans="1:2" x14ac:dyDescent="0.25">
      <c r="A13" t="s">
        <v>18</v>
      </c>
      <c r="B13">
        <v>13</v>
      </c>
    </row>
    <row r="14" spans="1:2" x14ac:dyDescent="0.25">
      <c r="A14" t="s">
        <v>19</v>
      </c>
      <c r="B14">
        <v>15</v>
      </c>
    </row>
    <row r="15" spans="1:2" x14ac:dyDescent="0.25">
      <c r="A15" t="s">
        <v>20</v>
      </c>
      <c r="B15">
        <v>16</v>
      </c>
    </row>
    <row r="16" spans="1:2" x14ac:dyDescent="0.25">
      <c r="A16" t="s">
        <v>21</v>
      </c>
      <c r="B16">
        <v>17</v>
      </c>
    </row>
    <row r="17" spans="1:2" x14ac:dyDescent="0.25">
      <c r="A17" t="s">
        <v>22</v>
      </c>
      <c r="B17">
        <v>18</v>
      </c>
    </row>
    <row r="18" spans="1:2" x14ac:dyDescent="0.25">
      <c r="A18" t="s">
        <v>23</v>
      </c>
      <c r="B18">
        <v>19</v>
      </c>
    </row>
    <row r="19" spans="1:2" x14ac:dyDescent="0.25">
      <c r="A19" t="s">
        <v>24</v>
      </c>
      <c r="B19">
        <v>20</v>
      </c>
    </row>
    <row r="20" spans="1:2" x14ac:dyDescent="0.25">
      <c r="A20" t="s">
        <v>25</v>
      </c>
      <c r="B20">
        <v>21</v>
      </c>
    </row>
    <row r="21" spans="1:2" x14ac:dyDescent="0.25">
      <c r="A21" t="s">
        <v>26</v>
      </c>
      <c r="B21">
        <v>22</v>
      </c>
    </row>
    <row r="22" spans="1:2" x14ac:dyDescent="0.25">
      <c r="A22" t="s">
        <v>27</v>
      </c>
      <c r="B22">
        <v>23</v>
      </c>
    </row>
    <row r="23" spans="1:2" x14ac:dyDescent="0.25">
      <c r="A23" t="s">
        <v>28</v>
      </c>
      <c r="B23">
        <v>24</v>
      </c>
    </row>
    <row r="24" spans="1:2" x14ac:dyDescent="0.25">
      <c r="A24" t="s">
        <v>29</v>
      </c>
      <c r="B24">
        <v>25</v>
      </c>
    </row>
    <row r="25" spans="1:2" x14ac:dyDescent="0.25">
      <c r="A25" t="s">
        <v>30</v>
      </c>
      <c r="B25">
        <v>26</v>
      </c>
    </row>
    <row r="26" spans="1:2" x14ac:dyDescent="0.25">
      <c r="A26" t="s">
        <v>32</v>
      </c>
      <c r="B26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137B9-32AD-474A-842A-53AACD289784}">
  <sheetPr codeName="Sheet3"/>
  <dimension ref="A1:K10"/>
  <sheetViews>
    <sheetView tabSelected="1" workbookViewId="0">
      <selection activeCell="F13" sqref="F13"/>
    </sheetView>
  </sheetViews>
  <sheetFormatPr defaultColWidth="11" defaultRowHeight="15.75" x14ac:dyDescent="0.25"/>
  <cols>
    <col min="1" max="1" width="22.875" bestFit="1" customWidth="1"/>
  </cols>
  <sheetData>
    <row r="1" spans="1:11" x14ac:dyDescent="0.25">
      <c r="A1" s="6" t="s">
        <v>53</v>
      </c>
      <c r="B1" s="6" t="s">
        <v>57</v>
      </c>
      <c r="C1" s="6"/>
      <c r="D1" s="6"/>
      <c r="E1" s="6"/>
      <c r="F1" s="6"/>
      <c r="G1" s="6"/>
      <c r="H1" s="6"/>
      <c r="I1" s="6"/>
      <c r="J1" s="6"/>
      <c r="K1" s="6"/>
    </row>
    <row r="2" spans="1:11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</row>
    <row r="4" spans="1:11" x14ac:dyDescent="0.25">
      <c r="A4" s="17" t="s">
        <v>48</v>
      </c>
      <c r="B4" s="18" t="s">
        <v>49</v>
      </c>
      <c r="C4" s="18"/>
      <c r="D4" s="18"/>
      <c r="E4" s="18"/>
      <c r="F4" s="18"/>
      <c r="G4" s="18"/>
      <c r="H4" s="18"/>
      <c r="I4" s="18"/>
      <c r="J4" s="18"/>
      <c r="K4" s="18"/>
    </row>
    <row r="5" spans="1:11" x14ac:dyDescent="0.25">
      <c r="A5" s="17"/>
      <c r="B5" s="18"/>
      <c r="C5" s="18"/>
      <c r="D5" s="18"/>
      <c r="E5" s="18"/>
      <c r="F5" s="18"/>
      <c r="G5" s="18"/>
      <c r="H5" s="18"/>
      <c r="I5" s="18"/>
      <c r="J5" s="18"/>
      <c r="K5" s="18"/>
    </row>
    <row r="9" spans="1:11" ht="18" x14ac:dyDescent="0.25">
      <c r="B9" s="5"/>
    </row>
    <row r="10" spans="1:11" x14ac:dyDescent="0.25">
      <c r="B10" s="3"/>
    </row>
  </sheetData>
  <mergeCells count="4">
    <mergeCell ref="A1:A3"/>
    <mergeCell ref="A4:A5"/>
    <mergeCell ref="B1:K3"/>
    <mergeCell ref="B4:K5"/>
  </mergeCells>
  <hyperlinks>
    <hyperlink ref="B4" r:id="rId1" display="https://hansu.free.beeceptor.com••••ˇˇˇˇ" xr:uid="{C9CF2046-A331-5840-AF44-49B515AB05D7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Checkout Page</vt:lpstr>
      <vt:lpstr>Items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ArchaxPh7</cp:lastModifiedBy>
  <dcterms:created xsi:type="dcterms:W3CDTF">2019-10-09T14:40:29Z</dcterms:created>
  <dcterms:modified xsi:type="dcterms:W3CDTF">2022-11-29T07:39:38Z</dcterms:modified>
</cp:coreProperties>
</file>